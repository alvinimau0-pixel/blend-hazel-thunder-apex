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GELARAN MAJU\1_MSK\1_GAJI FOR PROJECT\"/>
    </mc:Choice>
  </mc:AlternateContent>
  <xr:revisionPtr revIDLastSave="0" documentId="13_ncr:1_{3F052449-A701-42BB-AC9D-7A39AB16C485}" xr6:coauthVersionLast="47" xr6:coauthVersionMax="47" xr10:uidLastSave="{00000000-0000-0000-0000-000000000000}"/>
  <bookViews>
    <workbookView xWindow="-108" yWindow="-108" windowWidth="23256" windowHeight="12456" activeTab="1" xr2:uid="{73208D21-936F-4A24-AE7E-00184F63D56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" i="2" l="1"/>
  <c r="G28" i="2" s="1"/>
  <c r="G30" i="2" s="1"/>
  <c r="B32" i="2" s="1"/>
  <c r="B33" i="2" s="1"/>
  <c r="G23" i="2"/>
  <c r="G24" i="2"/>
  <c r="G25" i="2"/>
  <c r="G26" i="2"/>
  <c r="G27" i="2"/>
  <c r="G21" i="2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7" i="2"/>
  <c r="H7" i="2" s="1"/>
  <c r="H14" i="2" s="1"/>
  <c r="E10" i="1" l="1"/>
  <c r="E8" i="1"/>
  <c r="I6" i="1"/>
  <c r="H6" i="1"/>
  <c r="H15" i="2"/>
</calcChain>
</file>

<file path=xl/sharedStrings.xml><?xml version="1.0" encoding="utf-8"?>
<sst xmlns="http://schemas.openxmlformats.org/spreadsheetml/2006/main" count="45" uniqueCount="33">
  <si>
    <t>AIPOON SUBS</t>
  </si>
  <si>
    <t>FLOOR TRAP</t>
  </si>
  <si>
    <t>URINAL</t>
  </si>
  <si>
    <t>STACK</t>
  </si>
  <si>
    <t>TENANT</t>
  </si>
  <si>
    <t>PRICE per toilet</t>
  </si>
  <si>
    <t>Basin</t>
  </si>
  <si>
    <t>Floor trap</t>
  </si>
  <si>
    <t>Urinal</t>
  </si>
  <si>
    <t>Stack</t>
  </si>
  <si>
    <t>Aipoon UPVC pipe installation from level 25 to level 31 (7 nos of level, 28 nos of toilet)</t>
  </si>
  <si>
    <t>price per point</t>
  </si>
  <si>
    <t>LEVEL 25</t>
  </si>
  <si>
    <t>LEVEL 26</t>
  </si>
  <si>
    <t>LEVEL 27</t>
  </si>
  <si>
    <t>LEVEL 28</t>
  </si>
  <si>
    <t>LEVEL 29</t>
  </si>
  <si>
    <t>LEVEL 30</t>
  </si>
  <si>
    <t>LEVEL 31</t>
  </si>
  <si>
    <t>PRICE PER TOILET</t>
  </si>
  <si>
    <t xml:space="preserve">PRICE PER LEVEL </t>
  </si>
  <si>
    <t>GRAND TOTAL PER TOILET</t>
  </si>
  <si>
    <t>FINAL PRICE</t>
  </si>
  <si>
    <t>LEVEL</t>
  </si>
  <si>
    <t>FLOOR OUTLET</t>
  </si>
  <si>
    <t>BASIN OUTLET</t>
  </si>
  <si>
    <t>DISCOUNT</t>
  </si>
  <si>
    <t>HOSEREEL</t>
  </si>
  <si>
    <t xml:space="preserve">LEVEL </t>
  </si>
  <si>
    <t>GRAND TOTAL</t>
  </si>
  <si>
    <t>TOTAL PER TOILET</t>
  </si>
  <si>
    <t>PRICE PER LEVEL</t>
  </si>
  <si>
    <t>PRICE per TENANT (12 Tenant per level 12 nos, 84 all together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</si>
</sst>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M&quot;#,##0;[Red]\-&quot;RM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6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3" borderId="0" xfId="0" applyFill="1"/>
    <xf numFmtId="6" fontId="0" fillId="3" borderId="0" xfId="0" applyNumberFormat="1" applyFill="1"/>
    <xf numFmtId="0" fontId="1" fillId="4" borderId="0" xfId="0" applyFont="1" applyFill="1"/>
    <xf numFmtId="0" fontId="1" fillId="5" borderId="0" xfId="0" applyFont="1" applyFill="1"/>
    <xf numFmtId="0" fontId="0" fillId="6" borderId="2" xfId="0" applyFill="1" applyBorder="1"/>
    <xf numFmtId="6" fontId="0" fillId="6" borderId="3" xfId="0" applyNumberFormat="1" applyFill="1" applyBorder="1"/>
    <xf numFmtId="0" fontId="0" fillId="6" borderId="4" xfId="0" applyFill="1" applyBorder="1"/>
    <xf numFmtId="6" fontId="0" fillId="6" borderId="5" xfId="0" applyNumberFormat="1" applyFill="1" applyBorder="1"/>
    <xf numFmtId="0" fontId="1" fillId="7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497216-8893-4351-BD2C-2D61B076CAEB}" name="Table1" displayName="Table1" ref="A6:H13" totalsRowShown="0">
  <autoFilter ref="A6:H13" xr:uid="{6B497216-8893-4351-BD2C-2D61B076CAEB}"/>
  <tableColumns count="8">
    <tableColumn id="1" xr3:uid="{FAEFAE35-90E5-42E2-9DE6-2B6115FEC517}" name="LEVEL"/>
    <tableColumn id="2" xr3:uid="{B9DE6280-615D-40F4-B067-532B20FEA8E6}" name="Basin"/>
    <tableColumn id="3" xr3:uid="{A33FD4FB-E932-466C-A8F3-208711A17045}" name="Floor trap"/>
    <tableColumn id="4" xr3:uid="{79EA227A-C906-4940-A62D-6B8A4246B643}" name="Urinal"/>
    <tableColumn id="5" xr3:uid="{797A9F24-4E17-4937-A5C3-C00E7DDBE48F}" name="Stack"/>
    <tableColumn id="6" xr3:uid="{C7A5A33D-0728-442B-9B21-77B6B69488CE}" name="price per point"/>
    <tableColumn id="7" xr3:uid="{F6D05B2A-1126-4F7C-AF4A-BFACAD71B154}" name="PRICE PER TOILET">
      <calculatedColumnFormula>F7*(B7+C7+D7+E7)</calculatedColumnFormula>
    </tableColumn>
    <tableColumn id="8" xr3:uid="{9581929C-4AE2-4032-81BB-520E2C15ADC0}" name="PRICE PER LEVEL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D0586-5FE4-4A9E-B26A-226AC83F48DA}">
  <dimension ref="D4:I10"/>
  <sheetViews>
    <sheetView workbookViewId="0">
      <selection activeCell="I12" sqref="I12"/>
    </sheetView>
  </sheetViews>
  <sheetFormatPr defaultRowHeight="14.4" x14ac:dyDescent="0.3"/>
  <cols>
    <col min="5" max="5" width="11.21875" bestFit="1" customWidth="1"/>
  </cols>
  <sheetData>
    <row r="4" spans="4:9" x14ac:dyDescent="0.3">
      <c r="D4" t="s">
        <v>0</v>
      </c>
    </row>
    <row r="5" spans="4:9" x14ac:dyDescent="0.3">
      <c r="E5" t="s">
        <v>1</v>
      </c>
      <c r="F5" t="s">
        <v>2</v>
      </c>
      <c r="G5" t="s">
        <v>3</v>
      </c>
    </row>
    <row r="6" spans="4:9" x14ac:dyDescent="0.3">
      <c r="D6">
        <v>1</v>
      </c>
      <c r="E6">
        <v>12</v>
      </c>
      <c r="F6">
        <v>3</v>
      </c>
      <c r="G6">
        <v>3</v>
      </c>
      <c r="H6">
        <f>E6+F6+G6</f>
        <v>18</v>
      </c>
      <c r="I6">
        <f>H6*50</f>
        <v>900</v>
      </c>
    </row>
    <row r="7" spans="4:9" x14ac:dyDescent="0.3">
      <c r="D7">
        <v>1</v>
      </c>
      <c r="E7" t="s">
        <v>4</v>
      </c>
    </row>
    <row r="8" spans="4:9" x14ac:dyDescent="0.3">
      <c r="E8">
        <f>1140*6</f>
        <v>6840</v>
      </c>
    </row>
    <row r="9" spans="4:9" x14ac:dyDescent="0.3">
      <c r="E9">
        <v>32000</v>
      </c>
    </row>
    <row r="10" spans="4:9" x14ac:dyDescent="0.3">
      <c r="E10">
        <f>SUM(E9,E8)</f>
        <v>38840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AF03-3E60-420B-840D-441D50713D94}">
  <dimension ref="A3:H33"/>
  <sheetViews>
    <sheetView tabSelected="1" topLeftCell="A4" workbookViewId="0">
      <selection activeCell="J18" sqref="J18"/>
    </sheetView>
  </sheetViews>
  <sheetFormatPr defaultRowHeight="14.4" x14ac:dyDescent="0.3"/>
  <cols>
    <col min="1" max="1" width="14.77734375" customWidth="1"/>
    <col min="2" max="2" width="13.6640625" bestFit="1" customWidth="1"/>
    <col min="3" max="3" width="13.109375" bestFit="1" customWidth="1"/>
    <col min="6" max="6" width="15.109375" customWidth="1"/>
    <col min="7" max="7" width="22.88671875" bestFit="1" customWidth="1"/>
    <col min="8" max="8" width="17.33203125" customWidth="1"/>
  </cols>
  <sheetData>
    <row r="3" spans="1:8" x14ac:dyDescent="0.3">
      <c r="A3" s="7" t="s">
        <v>10</v>
      </c>
      <c r="B3" s="7"/>
      <c r="C3" s="7"/>
      <c r="D3" s="7"/>
      <c r="E3" s="7"/>
      <c r="F3" s="7"/>
      <c r="G3" s="7"/>
      <c r="H3" s="7"/>
    </row>
    <row r="5" spans="1:8" x14ac:dyDescent="0.3">
      <c r="A5" s="12" t="s">
        <v>5</v>
      </c>
      <c r="B5" s="12"/>
    </row>
    <row r="6" spans="1:8" x14ac:dyDescent="0.3">
      <c r="A6" t="s">
        <v>23</v>
      </c>
      <c r="B6" t="s">
        <v>6</v>
      </c>
      <c r="C6" t="s">
        <v>7</v>
      </c>
      <c r="D6" t="s">
        <v>8</v>
      </c>
      <c r="E6" t="s">
        <v>9</v>
      </c>
      <c r="F6" t="s">
        <v>11</v>
      </c>
      <c r="G6" t="s">
        <v>19</v>
      </c>
      <c r="H6" t="s">
        <v>20</v>
      </c>
    </row>
    <row r="7" spans="1:8" x14ac:dyDescent="0.3">
      <c r="A7" t="s">
        <v>12</v>
      </c>
      <c r="B7">
        <v>7</v>
      </c>
      <c r="C7">
        <v>16</v>
      </c>
      <c r="D7">
        <v>3</v>
      </c>
      <c r="E7">
        <v>3</v>
      </c>
      <c r="F7">
        <v>50</v>
      </c>
      <c r="G7">
        <f>F7*(B7+C7+D7+E7)</f>
        <v>1450</v>
      </c>
      <c r="H7">
        <f>G7*4</f>
        <v>5800</v>
      </c>
    </row>
    <row r="8" spans="1:8" x14ac:dyDescent="0.3">
      <c r="A8" t="s">
        <v>13</v>
      </c>
      <c r="B8">
        <v>7</v>
      </c>
      <c r="C8">
        <v>16</v>
      </c>
      <c r="D8">
        <v>3</v>
      </c>
      <c r="E8">
        <v>3</v>
      </c>
      <c r="F8">
        <v>50</v>
      </c>
      <c r="G8">
        <f t="shared" ref="G8:G13" si="0">F8*(B8+C8+D8+E8)</f>
        <v>1450</v>
      </c>
      <c r="H8">
        <f t="shared" ref="H8:H12" si="1">G8*4</f>
        <v>5800</v>
      </c>
    </row>
    <row r="9" spans="1:8" x14ac:dyDescent="0.3">
      <c r="A9" t="s">
        <v>14</v>
      </c>
      <c r="B9">
        <v>7</v>
      </c>
      <c r="C9">
        <v>16</v>
      </c>
      <c r="D9">
        <v>3</v>
      </c>
      <c r="E9">
        <v>3</v>
      </c>
      <c r="F9">
        <v>50</v>
      </c>
      <c r="G9">
        <f t="shared" si="0"/>
        <v>1450</v>
      </c>
      <c r="H9">
        <f t="shared" si="1"/>
        <v>5800</v>
      </c>
    </row>
    <row r="10" spans="1:8" x14ac:dyDescent="0.3">
      <c r="A10" t="s">
        <v>15</v>
      </c>
      <c r="B10">
        <v>7</v>
      </c>
      <c r="C10">
        <v>16</v>
      </c>
      <c r="D10">
        <v>3</v>
      </c>
      <c r="E10">
        <v>3</v>
      </c>
      <c r="F10">
        <v>50</v>
      </c>
      <c r="G10">
        <f t="shared" si="0"/>
        <v>1450</v>
      </c>
      <c r="H10">
        <f t="shared" si="1"/>
        <v>5800</v>
      </c>
    </row>
    <row r="11" spans="1:8" x14ac:dyDescent="0.3">
      <c r="A11" t="s">
        <v>16</v>
      </c>
      <c r="B11">
        <v>7</v>
      </c>
      <c r="C11">
        <v>16</v>
      </c>
      <c r="D11">
        <v>3</v>
      </c>
      <c r="E11">
        <v>3</v>
      </c>
      <c r="F11">
        <v>50</v>
      </c>
      <c r="G11">
        <f t="shared" si="0"/>
        <v>1450</v>
      </c>
      <c r="H11">
        <f t="shared" si="1"/>
        <v>5800</v>
      </c>
    </row>
    <row r="12" spans="1:8" x14ac:dyDescent="0.3">
      <c r="A12" t="s">
        <v>17</v>
      </c>
      <c r="B12">
        <v>7</v>
      </c>
      <c r="C12">
        <v>16</v>
      </c>
      <c r="D12">
        <v>3</v>
      </c>
      <c r="E12">
        <v>3</v>
      </c>
      <c r="F12">
        <v>50</v>
      </c>
      <c r="G12">
        <f t="shared" si="0"/>
        <v>1450</v>
      </c>
      <c r="H12">
        <f t="shared" si="1"/>
        <v>5800</v>
      </c>
    </row>
    <row r="13" spans="1:8" x14ac:dyDescent="0.3">
      <c r="A13" t="s">
        <v>18</v>
      </c>
      <c r="B13">
        <v>7</v>
      </c>
      <c r="C13">
        <v>16</v>
      </c>
      <c r="D13">
        <v>3</v>
      </c>
      <c r="E13">
        <v>3</v>
      </c>
      <c r="F13">
        <v>50</v>
      </c>
      <c r="G13">
        <f t="shared" si="0"/>
        <v>1450</v>
      </c>
      <c r="H13">
        <f>G13*2</f>
        <v>2900</v>
      </c>
    </row>
    <row r="14" spans="1:8" x14ac:dyDescent="0.3">
      <c r="G14" t="s">
        <v>30</v>
      </c>
      <c r="H14">
        <f>SUM(H7:H13)</f>
        <v>37700</v>
      </c>
    </row>
    <row r="15" spans="1:8" x14ac:dyDescent="0.3">
      <c r="G15" t="s">
        <v>26</v>
      </c>
      <c r="H15" s="1">
        <f>H16-H14</f>
        <v>-5700</v>
      </c>
    </row>
    <row r="16" spans="1:8" x14ac:dyDescent="0.3">
      <c r="G16" s="4" t="s">
        <v>22</v>
      </c>
      <c r="H16" s="5">
        <v>32000</v>
      </c>
    </row>
    <row r="19" spans="1:7" x14ac:dyDescent="0.3">
      <c r="A19" s="12" t="s">
        <v>32</v>
      </c>
      <c r="B19" s="12"/>
      <c r="C19" s="13"/>
      <c r="D19" s="13"/>
      <c r="E19" s="13"/>
    </row>
    <row r="20" spans="1:7" x14ac:dyDescent="0.3">
      <c r="A20" s="6" t="s">
        <v>28</v>
      </c>
      <c r="B20" s="6" t="s">
        <v>24</v>
      </c>
      <c r="C20" s="6" t="s">
        <v>25</v>
      </c>
      <c r="D20" s="6" t="s">
        <v>27</v>
      </c>
      <c r="E20" s="6" t="s">
        <v>3</v>
      </c>
      <c r="F20" s="6" t="s">
        <v>11</v>
      </c>
      <c r="G20" s="6" t="s">
        <v>20</v>
      </c>
    </row>
    <row r="21" spans="1:7" x14ac:dyDescent="0.3">
      <c r="A21" s="2" t="s">
        <v>12</v>
      </c>
      <c r="B21">
        <v>12</v>
      </c>
      <c r="C21">
        <v>12</v>
      </c>
      <c r="D21">
        <v>12</v>
      </c>
      <c r="E21">
        <v>12</v>
      </c>
      <c r="F21">
        <v>30</v>
      </c>
      <c r="G21">
        <f>F21*(B21+C21+D21+E21)</f>
        <v>1440</v>
      </c>
    </row>
    <row r="22" spans="1:7" x14ac:dyDescent="0.3">
      <c r="A22" s="3" t="s">
        <v>13</v>
      </c>
      <c r="B22">
        <v>12</v>
      </c>
      <c r="C22">
        <v>12</v>
      </c>
      <c r="D22">
        <v>12</v>
      </c>
      <c r="E22">
        <v>12</v>
      </c>
      <c r="F22">
        <v>30</v>
      </c>
      <c r="G22">
        <f t="shared" ref="G22:G27" si="2">F22*(B22+C22+D22+E22)</f>
        <v>1440</v>
      </c>
    </row>
    <row r="23" spans="1:7" x14ac:dyDescent="0.3">
      <c r="A23" s="2" t="s">
        <v>14</v>
      </c>
      <c r="B23">
        <v>12</v>
      </c>
      <c r="C23">
        <v>12</v>
      </c>
      <c r="D23">
        <v>12</v>
      </c>
      <c r="E23">
        <v>12</v>
      </c>
      <c r="F23">
        <v>30</v>
      </c>
      <c r="G23">
        <f t="shared" si="2"/>
        <v>1440</v>
      </c>
    </row>
    <row r="24" spans="1:7" x14ac:dyDescent="0.3">
      <c r="A24" s="3" t="s">
        <v>15</v>
      </c>
      <c r="B24">
        <v>12</v>
      </c>
      <c r="C24">
        <v>12</v>
      </c>
      <c r="D24">
        <v>12</v>
      </c>
      <c r="E24">
        <v>12</v>
      </c>
      <c r="F24">
        <v>30</v>
      </c>
      <c r="G24">
        <f t="shared" si="2"/>
        <v>1440</v>
      </c>
    </row>
    <row r="25" spans="1:7" x14ac:dyDescent="0.3">
      <c r="A25" s="2" t="s">
        <v>16</v>
      </c>
      <c r="B25">
        <v>12</v>
      </c>
      <c r="C25">
        <v>12</v>
      </c>
      <c r="D25">
        <v>12</v>
      </c>
      <c r="E25">
        <v>12</v>
      </c>
      <c r="F25">
        <v>30</v>
      </c>
      <c r="G25">
        <f t="shared" si="2"/>
        <v>1440</v>
      </c>
    </row>
    <row r="26" spans="1:7" x14ac:dyDescent="0.3">
      <c r="A26" s="3" t="s">
        <v>17</v>
      </c>
      <c r="B26">
        <v>12</v>
      </c>
      <c r="C26">
        <v>12</v>
      </c>
      <c r="D26">
        <v>12</v>
      </c>
      <c r="E26">
        <v>12</v>
      </c>
      <c r="F26">
        <v>30</v>
      </c>
      <c r="G26">
        <f t="shared" si="2"/>
        <v>1440</v>
      </c>
    </row>
    <row r="27" spans="1:7" x14ac:dyDescent="0.3">
      <c r="A27" s="2" t="s">
        <v>18</v>
      </c>
      <c r="B27">
        <v>12</v>
      </c>
      <c r="C27">
        <v>12</v>
      </c>
      <c r="D27">
        <v>12</v>
      </c>
      <c r="E27">
        <v>12</v>
      </c>
      <c r="F27">
        <v>30</v>
      </c>
      <c r="G27">
        <f t="shared" si="2"/>
        <v>1440</v>
      </c>
    </row>
    <row r="28" spans="1:7" x14ac:dyDescent="0.3">
      <c r="F28" t="s">
        <v>21</v>
      </c>
      <c r="G28">
        <f>SUM(G21:G27)</f>
        <v>10080</v>
      </c>
    </row>
    <row r="29" spans="1:7" x14ac:dyDescent="0.3">
      <c r="F29" t="s">
        <v>26</v>
      </c>
      <c r="G29" s="1">
        <v>80</v>
      </c>
    </row>
    <row r="30" spans="1:7" x14ac:dyDescent="0.3">
      <c r="F30" s="4" t="s">
        <v>22</v>
      </c>
      <c r="G30" s="5">
        <f>G28-G29</f>
        <v>10000</v>
      </c>
    </row>
    <row r="32" spans="1:7" x14ac:dyDescent="0.3">
      <c r="A32" s="8" t="s">
        <v>29</v>
      </c>
      <c r="B32" s="9">
        <f>G30+H16</f>
        <v>42000</v>
      </c>
    </row>
    <row r="33" spans="1:2" x14ac:dyDescent="0.3">
      <c r="A33" s="10" t="s">
        <v>31</v>
      </c>
      <c r="B33" s="11">
        <f>B32/7</f>
        <v>6000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khairul Majid</dc:creator>
  <cp:lastModifiedBy>Muhamad khairul Majid</cp:lastModifiedBy>
  <dcterms:created xsi:type="dcterms:W3CDTF">2026-08-07T01:33:51Z</dcterms:created>
  <dcterms:modified xsi:type="dcterms:W3CDTF">2026-08-10T07:56:12Z</dcterms:modified>
</cp:coreProperties>
</file>